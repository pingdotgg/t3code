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shboard" sheetId="1" r:id="rId1"/>
    <sheet name="Compounds" sheetId="2" r:id="rId2"/>
    <sheet name="Targets" sheetId="3" r:id="rId3"/>
    <sheet name="Interactions" sheetId="4" r:id="rId4"/>
    <sheet name="Evidence_Claims" sheetId="5" r:id="rId5"/>
    <sheet name="Graph_Specs" sheetId="6" r:id="rId6"/>
    <sheet name="Risk_Flags" sheetId="7" r:id="rId7"/>
    <sheet name="Tasks" sheetId="8" r:id="rId8"/>
    <sheet name="Sources" sheetId="9" r:id="rId9"/>
  </sheets>
</workbook>
</file>

<file path=xl/styles.xml><?xml version="1.0" encoding="utf-8"?>
<styleSheet xmlns="http://schemas.openxmlformats.org/spreadsheetml/2006/main">
  <fonts count="1">
    <font>
      <sz val="11"/>
      <name val="Aptos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4" customWidth="1"/>
    <col min="2" max="2" width="18" customWidth="1"/>
    <col min="3" max="3" width="18" customWidth="1"/>
  </cols>
  <sheetData>
    <row r="1">
      <c r="A1" t="inlineStr">
        <is>
          <t>Metric</t>
        </is>
      </c>
      <c r="B1" t="inlineStr">
        <is>
          <t>Value</t>
        </is>
      </c>
      <c r="C1" t="inlineStr">
        <is>
          <t>Notes</t>
        </is>
      </c>
    </row>
    <row r="2">
      <c r="A2" t="inlineStr">
        <is>
          <t>Tracked compounds</t>
        </is>
      </c>
      <c r="B2">
        <f>COUNTA(Compounds!A2:A501)</f>
      </c>
      <c r="C2" t="inlineStr">
        <is>
          <t>Editable rows start at row 2</t>
        </is>
      </c>
    </row>
    <row r="3">
      <c r="A3" t="inlineStr">
        <is>
          <t>Tracked interactions</t>
        </is>
      </c>
      <c r="B3">
        <f>COUNTA(Interactions!A2:A1001)</f>
      </c>
      <c r="C3" t="inlineStr">
        <is>
          <t>Compound-target rows</t>
        </is>
      </c>
    </row>
    <row r="4">
      <c r="A4" t="inlineStr">
        <is>
          <t>Evidence claims</t>
        </is>
      </c>
      <c r="B4">
        <f>COUNTA(Evidence_Claims!A2:A1001)</f>
      </c>
      <c r="C4" t="inlineStr">
        <is>
          <t>Claims with source IDs</t>
        </is>
      </c>
    </row>
    <row r="5">
      <c r="A5" t="inlineStr">
        <is>
          <t>Open tasks</t>
        </is>
      </c>
      <c r="B5">
        <f>COUNTIF(Tasks!E2:E501,"Open")</f>
      </c>
      <c r="C5" t="inlineStr">
        <is>
          <t>Follow-up queue</t>
        </is>
      </c>
    </row>
    <row r="6">
      <c r="A6" t="inlineStr">
        <is>
          <t>Local DB bytes</t>
        </is>
      </c>
      <c r="B6">
        <v>1168352855</v>
      </c>
      <c r="C6" t="inlineStr">
        <is>
          <t>Downloaded local corpus size</t>
        </is>
      </c>
    </row>
    <row r="7">
      <c r="A7" t="inlineStr">
        <is>
          <t>IUPHAR imported rows</t>
        </is>
      </c>
      <c r="B7">
        <v>23742</v>
      </c>
      <c r="C7" t="inlineStr">
        <is>
          <t>Searchable receptor interaction rows</t>
        </is>
      </c>
    </row>
  </sheetData>
  <autoFilter ref="A1:C7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4" customWidth="1"/>
    <col min="2" max="2" width="18" customWidth="1"/>
    <col min="3" max="3" width="18" customWidth="1"/>
    <col min="4" max="4" width="18" customWidth="1"/>
    <col min="5" max="5" width="18" customWidth="1"/>
    <col min="6" max="6" width="18" customWidth="1"/>
    <col min="7" max="7" width="18" customWidth="1"/>
  </cols>
  <sheetData>
    <row r="1">
      <c r="A1" t="inlineStr">
        <is>
          <t>compound_id</t>
        </is>
      </c>
      <c r="B1" t="inlineStr">
        <is>
          <t>preferred_name</t>
        </is>
      </c>
      <c r="C1" t="inlineStr">
        <is>
          <t>aliases</t>
        </is>
      </c>
      <c r="D1" t="inlineStr">
        <is>
          <t>class</t>
        </is>
      </c>
      <c r="E1" t="inlineStr">
        <is>
          <t>primary_question</t>
        </is>
      </c>
      <c r="F1" t="inlineStr">
        <is>
          <t>status</t>
        </is>
      </c>
      <c r="G1" t="inlineStr">
        <is>
          <t>notes</t>
        </is>
      </c>
    </row>
    <row r="2">
      <c r="A2" t="inlineStr">
        <is>
          <t>cmp-af710b</t>
        </is>
      </c>
      <c r="B2" t="inlineStr">
        <is>
          <t>AF710B / ANAVEX 3-71</t>
        </is>
      </c>
      <c r="C2" t="inlineStr">
        <is>
          <t>AF-710B; ANAVEX3-71; AV3-71</t>
        </is>
      </c>
      <c r="D2" t="inlineStr">
        <is>
          <t>investigational cognition compound</t>
        </is>
      </c>
      <c r="E2" t="inlineStr">
        <is>
          <t>M1 + sigma-1 mechanism profile</t>
        </is>
      </c>
      <c r="F2" t="inlineStr">
        <is>
          <t>Active</t>
        </is>
      </c>
      <c r="G2" t="inlineStr">
        <is>
          <t>Seed row</t>
        </is>
      </c>
    </row>
    <row r="3">
      <c r="A3" t="inlineStr">
        <is>
          <t>cmp-methylphenidate</t>
        </is>
      </c>
      <c r="B3" t="inlineStr">
        <is>
          <t>methylphenidate</t>
        </is>
      </c>
      <c r="C3" t="inlineStr">
        <is>
          <t>MPH; Ritalin</t>
        </is>
      </c>
      <c r="D3" t="inlineStr">
        <is>
          <t>psychostimulant</t>
        </is>
      </c>
      <c r="E3" t="inlineStr">
        <is>
          <t>DAT/NET comparison anchor</t>
        </is>
      </c>
      <c r="F3" t="inlineStr">
        <is>
          <t>Active</t>
        </is>
      </c>
      <c r="G3" t="inlineStr">
        <is>
          <t>Seed row</t>
        </is>
      </c>
    </row>
  </sheetData>
  <autoFilter ref="A1:G3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4" customWidth="1"/>
    <col min="2" max="2" width="18" customWidth="1"/>
    <col min="3" max="3" width="18" customWidth="1"/>
    <col min="4" max="4" width="18" customWidth="1"/>
    <col min="5" max="5" width="18" customWidth="1"/>
    <col min="6" max="6" width="18" customWidth="1"/>
    <col min="7" max="7" width="18" customWidth="1"/>
  </cols>
  <sheetData>
    <row r="1">
      <c r="A1" t="inlineStr">
        <is>
          <t>target_id</t>
        </is>
      </c>
      <c r="B1" t="inlineStr">
        <is>
          <t>name</t>
        </is>
      </c>
      <c r="C1" t="inlineStr">
        <is>
          <t>gene</t>
        </is>
      </c>
      <c r="D1" t="inlineStr">
        <is>
          <t>family</t>
        </is>
      </c>
      <c r="E1" t="inlineStr">
        <is>
          <t>organism</t>
        </is>
      </c>
      <c r="F1" t="inlineStr">
        <is>
          <t>local_source</t>
        </is>
      </c>
      <c r="G1" t="inlineStr">
        <is>
          <t>notes</t>
        </is>
      </c>
    </row>
    <row r="2">
      <c r="A2" t="inlineStr">
        <is>
          <t>tgt-chrm1</t>
        </is>
      </c>
      <c r="B2" t="inlineStr">
        <is>
          <t>M1 muscarinic acetylcholine receptor</t>
        </is>
      </c>
      <c r="C2" t="inlineStr">
        <is>
          <t>CHRM1</t>
        </is>
      </c>
      <c r="D2" t="inlineStr">
        <is>
          <t>GPCR</t>
        </is>
      </c>
      <c r="E2" t="inlineStr">
        <is>
          <t>Human</t>
        </is>
      </c>
      <c r="F2" t="inlineStr">
        <is>
          <t>IUPHAR / basics pack</t>
        </is>
      </c>
      <c r="G2" t="inlineStr">
        <is>
          <t>Cognition and cholinergic signaling anchor</t>
        </is>
      </c>
    </row>
    <row r="3">
      <c r="A3" t="inlineStr">
        <is>
          <t>tgt-sigmar1</t>
        </is>
      </c>
      <c r="B3" t="inlineStr">
        <is>
          <t>Sigma-1 receptor</t>
        </is>
      </c>
      <c r="C3" t="inlineStr">
        <is>
          <t>SIGMAR1</t>
        </is>
      </c>
      <c r="D3" t="inlineStr">
        <is>
          <t>ER chaperone receptor</t>
        </is>
      </c>
      <c r="E3" t="inlineStr">
        <is>
          <t>Human</t>
        </is>
      </c>
      <c r="F3" t="inlineStr">
        <is>
          <t>basics pack / PubMed</t>
        </is>
      </c>
      <c r="G3" t="inlineStr">
        <is>
          <t>Stress/plasticity hypothesis</t>
        </is>
      </c>
    </row>
    <row r="4">
      <c r="A4" t="inlineStr">
        <is>
          <t>tgt-slc6a3</t>
        </is>
      </c>
      <c r="B4" t="inlineStr">
        <is>
          <t>Dopamine transporter</t>
        </is>
      </c>
      <c r="C4" t="inlineStr">
        <is>
          <t>SLC6A3</t>
        </is>
      </c>
      <c r="D4" t="inlineStr">
        <is>
          <t>transporter</t>
        </is>
      </c>
      <c r="E4" t="inlineStr">
        <is>
          <t>Human</t>
        </is>
      </c>
      <c r="F4" t="inlineStr">
        <is>
          <t>BindingDB / curated sync</t>
        </is>
      </c>
      <c r="G4" t="inlineStr">
        <is>
          <t>Methylphenidate anchor</t>
        </is>
      </c>
    </row>
  </sheetData>
  <autoFilter ref="A1:G4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4" customWidth="1"/>
    <col min="2" max="2" width="18" customWidth="1"/>
    <col min="3" max="3" width="18" customWidth="1"/>
    <col min="4" max="4" width="18" customWidth="1"/>
    <col min="5" max="5" width="18" customWidth="1"/>
    <col min="6" max="6" width="18" customWidth="1"/>
    <col min="7" max="7" width="18" customWidth="1"/>
    <col min="8" max="8" width="18" customWidth="1"/>
    <col min="9" max="9" width="18" customWidth="1"/>
    <col min="10" max="10" width="18" customWidth="1"/>
    <col min="11" max="11" width="18" customWidth="1"/>
    <col min="12" max="12" width="18" customWidth="1"/>
  </cols>
  <sheetData>
    <row r="1">
      <c r="A1" t="inlineStr">
        <is>
          <t>interaction_id</t>
        </is>
      </c>
      <c r="B1" t="inlineStr">
        <is>
          <t>compound_id</t>
        </is>
      </c>
      <c r="C1" t="inlineStr">
        <is>
          <t>target_id</t>
        </is>
      </c>
      <c r="D1" t="inlineStr">
        <is>
          <t>compound</t>
        </is>
      </c>
      <c r="E1" t="inlineStr">
        <is>
          <t>target</t>
        </is>
      </c>
      <c r="F1" t="inlineStr">
        <is>
          <t>action</t>
        </is>
      </c>
      <c r="G1" t="inlineStr">
        <is>
          <t>value</t>
        </is>
      </c>
      <c r="H1" t="inlineStr">
        <is>
          <t>units</t>
        </is>
      </c>
      <c r="I1" t="inlineStr">
        <is>
          <t>evidence_grade</t>
        </is>
      </c>
      <c r="J1" t="inlineStr">
        <is>
          <t>source_id</t>
        </is>
      </c>
      <c r="K1" t="inlineStr">
        <is>
          <t>confidence</t>
        </is>
      </c>
      <c r="L1" t="inlineStr">
        <is>
          <t>notes</t>
        </is>
      </c>
    </row>
    <row r="2">
      <c r="A2" t="inlineStr">
        <is>
          <t>int-af710b-chrm1</t>
        </is>
      </c>
      <c r="B2" t="inlineStr">
        <is>
          <t>cmp-af710b</t>
        </is>
      </c>
      <c r="C2" t="inlineStr">
        <is>
          <t>tgt-chrm1</t>
        </is>
      </c>
      <c r="D2" t="inlineStr">
        <is>
          <t>AF710B</t>
        </is>
      </c>
      <c r="E2" t="inlineStr">
        <is>
          <t>M1 muscarinic acetylcholine receptor</t>
        </is>
      </c>
      <c r="F2" t="inlineStr">
        <is>
          <t>reported M1 modulation</t>
        </is>
      </c>
      <c r="G2"/>
      <c r="H2"/>
      <c r="I2" t="inlineStr">
        <is>
          <t>inferred</t>
        </is>
      </c>
      <c r="J2" t="inlineStr">
        <is>
          <t>local-basics-af710b</t>
        </is>
      </c>
      <c r="K2" t="inlineStr">
        <is>
          <t>low</t>
        </is>
      </c>
      <c r="L2" t="inlineStr">
        <is>
          <t>Exact affinity not asserted unless sourced</t>
        </is>
      </c>
    </row>
    <row r="3">
      <c r="A3" t="inlineStr">
        <is>
          <t>int-af710b-sigmar1</t>
        </is>
      </c>
      <c r="B3" t="inlineStr">
        <is>
          <t>cmp-af710b</t>
        </is>
      </c>
      <c r="C3" t="inlineStr">
        <is>
          <t>tgt-sigmar1</t>
        </is>
      </c>
      <c r="D3" t="inlineStr">
        <is>
          <t>AF710B</t>
        </is>
      </c>
      <c r="E3" t="inlineStr">
        <is>
          <t>Sigma-1 receptor</t>
        </is>
      </c>
      <c r="F3" t="inlineStr">
        <is>
          <t>reported sigma-1 modulation</t>
        </is>
      </c>
      <c r="G3"/>
      <c r="H3"/>
      <c r="I3" t="inlineStr">
        <is>
          <t>inferred</t>
        </is>
      </c>
      <c r="J3" t="inlineStr">
        <is>
          <t>local-basics-af710b</t>
        </is>
      </c>
      <c r="K3" t="inlineStr">
        <is>
          <t>low</t>
        </is>
      </c>
      <c r="L3" t="inlineStr">
        <is>
          <t>Separate animal from human evidence</t>
        </is>
      </c>
    </row>
    <row r="4">
      <c r="A4" t="inlineStr">
        <is>
          <t>int-mph-dat</t>
        </is>
      </c>
      <c r="B4" t="inlineStr">
        <is>
          <t>cmp-methylphenidate</t>
        </is>
      </c>
      <c r="C4" t="inlineStr">
        <is>
          <t>tgt-slc6a3</t>
        </is>
      </c>
      <c r="D4" t="inlineStr">
        <is>
          <t>methylphenidate</t>
        </is>
      </c>
      <c r="E4" t="inlineStr">
        <is>
          <t>Dopamine transporter</t>
        </is>
      </c>
      <c r="F4" t="inlineStr">
        <is>
          <t>DAT blockade</t>
        </is>
      </c>
      <c r="G4"/>
      <c r="H4"/>
      <c r="I4" t="inlineStr">
        <is>
          <t>measured</t>
        </is>
      </c>
      <c r="J4" t="inlineStr">
        <is>
          <t>curated-sync-mph</t>
        </is>
      </c>
      <c r="K4" t="inlineStr">
        <is>
          <t>moderate</t>
        </is>
      </c>
      <c r="L4" t="inlineStr">
        <is>
          <t>Use measured local/source values when imported</t>
        </is>
      </c>
    </row>
  </sheetData>
  <autoFilter ref="A1:L4"/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4" customWidth="1"/>
    <col min="2" max="2" width="18" customWidth="1"/>
    <col min="3" max="3" width="18" customWidth="1"/>
    <col min="4" max="4" width="18" customWidth="1"/>
    <col min="5" max="5" width="18" customWidth="1"/>
    <col min="6" max="6" width="18" customWidth="1"/>
    <col min="7" max="7" width="18" customWidth="1"/>
    <col min="8" max="8" width="18" customWidth="1"/>
    <col min="9" max="9" width="18" customWidth="1"/>
    <col min="10" max="10" width="18" customWidth="1"/>
  </cols>
  <sheetData>
    <row r="1">
      <c r="A1" t="inlineStr">
        <is>
          <t>claim_id</t>
        </is>
      </c>
      <c r="B1" t="inlineStr">
        <is>
          <t>compound_id</t>
        </is>
      </c>
      <c r="C1" t="inlineStr">
        <is>
          <t>target_or_domain</t>
        </is>
      </c>
      <c r="D1" t="inlineStr">
        <is>
          <t>claim</t>
        </is>
      </c>
      <c r="E1" t="inlineStr">
        <is>
          <t>evidence_class</t>
        </is>
      </c>
      <c r="F1" t="inlineStr">
        <is>
          <t>source_id</t>
        </is>
      </c>
      <c r="G1" t="inlineStr">
        <is>
          <t>url_or_pmid</t>
        </is>
      </c>
      <c r="H1" t="inlineStr">
        <is>
          <t>confidence</t>
        </is>
      </c>
      <c r="I1" t="inlineStr">
        <is>
          <t>extrapolation_flag</t>
        </is>
      </c>
      <c r="J1" t="inlineStr">
        <is>
          <t>notes</t>
        </is>
      </c>
    </row>
    <row r="2">
      <c r="A2" t="inlineStr">
        <is>
          <t>claim-001</t>
        </is>
      </c>
      <c r="B2" t="inlineStr">
        <is>
          <t>cmp-af710b</t>
        </is>
      </c>
      <c r="C2" t="inlineStr">
        <is>
          <t>cognition</t>
        </is>
      </c>
      <c r="D2" t="inlineStr">
        <is>
          <t>Rodent AD-model cognition improvement is not direct human enhancement proof</t>
        </is>
      </c>
      <c r="E2" t="inlineStr">
        <is>
          <t>animal</t>
        </is>
      </c>
      <c r="F2" t="inlineStr">
        <is>
          <t>PMID 26606130</t>
        </is>
      </c>
      <c r="G2" t="inlineStr">
        <is>
          <t>https://pubmed.ncbi.nlm.nih.gov/26606130/</t>
        </is>
      </c>
      <c r="H2" t="inlineStr">
        <is>
          <t>low</t>
        </is>
      </c>
      <c r="I2" t="inlineStr">
        <is>
          <t>yes</t>
        </is>
      </c>
      <c r="J2" t="inlineStr">
        <is>
          <t>Keep translational caveat explicit</t>
        </is>
      </c>
    </row>
    <row r="3">
      <c r="A3" t="inlineStr">
        <is>
          <t>claim-002</t>
        </is>
      </c>
      <c r="B3" t="inlineStr">
        <is>
          <t>cmp-methylphenidate</t>
        </is>
      </c>
      <c r="C3" t="inlineStr">
        <is>
          <t>attention</t>
        </is>
      </c>
      <c r="D3" t="inlineStr">
        <is>
          <t>DAT/NET effects support attention/wakefulness mechanism</t>
        </is>
      </c>
      <c r="E3" t="inlineStr">
        <is>
          <t>human/label</t>
        </is>
      </c>
      <c r="F3" t="inlineStr">
        <is>
          <t>curated-sync-mph</t>
        </is>
      </c>
      <c r="G3"/>
      <c r="H3" t="inlineStr">
        <is>
          <t>moderate</t>
        </is>
      </c>
      <c r="I3" t="inlineStr">
        <is>
          <t>no</t>
        </is>
      </c>
      <c r="J3" t="inlineStr">
        <is>
          <t>Add exact source rows as imported</t>
        </is>
      </c>
    </row>
  </sheetData>
  <autoFilter ref="A1:J3"/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4" customWidth="1"/>
    <col min="2" max="2" width="18" customWidth="1"/>
    <col min="3" max="3" width="18" customWidth="1"/>
    <col min="4" max="4" width="18" customWidth="1"/>
    <col min="5" max="5" width="18" customWidth="1"/>
    <col min="6" max="6" width="18" customWidth="1"/>
    <col min="7" max="7" width="18" customWidth="1"/>
  </cols>
  <sheetData>
    <row r="1">
      <c r="A1" t="inlineStr">
        <is>
          <t>graph_id</t>
        </is>
      </c>
      <c r="B1" t="inlineStr">
        <is>
          <t>kind</t>
        </is>
      </c>
      <c r="C1" t="inlineStr">
        <is>
          <t>title</t>
        </is>
      </c>
      <c r="D1" t="inlineStr">
        <is>
          <t>compound_or_stack</t>
        </is>
      </c>
      <c r="E1" t="inlineStr">
        <is>
          <t>data_json</t>
        </is>
      </c>
      <c r="F1" t="inlineStr">
        <is>
          <t>notes</t>
        </is>
      </c>
      <c r="G1" t="inlineStr">
        <is>
          <t>render_status</t>
        </is>
      </c>
    </row>
    <row r="2">
      <c r="A2" t="inlineStr">
        <is>
          <t>graph-001</t>
        </is>
      </c>
      <c r="B2" t="inlineStr">
        <is>
          <t>target_network</t>
        </is>
      </c>
      <c r="C2" t="inlineStr">
        <is>
          <t>AF710B target map</t>
        </is>
      </c>
      <c r="D2" t="inlineStr">
        <is>
          <t>AF710B</t>
        </is>
      </c>
      <c r="E2" t="inlineStr">
        <is>
          <t>[{"label":"M1 / CHRM1","value":82,"group":"AF710B","unit":"inferred"}]</t>
        </is>
      </c>
      <c r="F2" t="inlineStr">
        <is>
          <t>Use neuropharm-graph fence</t>
        </is>
      </c>
      <c r="G2" t="inlineStr">
        <is>
          <t>renders in chat</t>
        </is>
      </c>
    </row>
    <row r="3">
      <c r="A3" t="inlineStr">
        <is>
          <t>graph-002</t>
        </is>
      </c>
      <c r="B3" t="inlineStr">
        <is>
          <t>interaction_risk_heatmap</t>
        </is>
      </c>
      <c r="C3" t="inlineStr">
        <is>
          <t>Stack risk matrix</t>
        </is>
      </c>
      <c r="D3" t="inlineStr">
        <is>
          <t>AF710B + methylphenidate</t>
        </is>
      </c>
      <c r="E3" t="inlineStr">
        <is>
          <t>[{"label":"BP","value":70,"group":"methylphenidate"}]</t>
        </is>
      </c>
      <c r="F3" t="inlineStr">
        <is>
          <t>0-100 relative risk scores</t>
        </is>
      </c>
      <c r="G3" t="inlineStr">
        <is>
          <t>renders in chat</t>
        </is>
      </c>
    </row>
  </sheetData>
  <autoFilter ref="A1:G3"/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4" customWidth="1"/>
    <col min="2" max="2" width="18" customWidth="1"/>
    <col min="3" max="3" width="18" customWidth="1"/>
    <col min="4" max="4" width="18" customWidth="1"/>
    <col min="5" max="5" width="18" customWidth="1"/>
    <col min="6" max="6" width="18" customWidth="1"/>
    <col min="7" max="7" width="18" customWidth="1"/>
  </cols>
  <sheetData>
    <row r="1">
      <c r="A1" t="inlineStr">
        <is>
          <t>risk_id</t>
        </is>
      </c>
      <c r="B1" t="inlineStr">
        <is>
          <t>compound_or_stack</t>
        </is>
      </c>
      <c r="C1" t="inlineStr">
        <is>
          <t>risk_domain</t>
        </is>
      </c>
      <c r="D1" t="inlineStr">
        <is>
          <t>mechanism</t>
        </is>
      </c>
      <c r="E1" t="inlineStr">
        <is>
          <t>severity</t>
        </is>
      </c>
      <c r="F1" t="inlineStr">
        <is>
          <t>confidence</t>
        </is>
      </c>
      <c r="G1" t="inlineStr">
        <is>
          <t>mitigation_or_followup</t>
        </is>
      </c>
    </row>
    <row r="2">
      <c r="A2" t="inlineStr">
        <is>
          <t>risk-001</t>
        </is>
      </c>
      <c r="B2" t="inlineStr">
        <is>
          <t>methylphenidate</t>
        </is>
      </c>
      <c r="C2" t="inlineStr">
        <is>
          <t>cardiovascular</t>
        </is>
      </c>
      <c r="D2" t="inlineStr">
        <is>
          <t>catecholamine transporter blockade</t>
        </is>
      </c>
      <c r="E2" t="inlineStr">
        <is>
          <t>medium</t>
        </is>
      </c>
      <c r="F2" t="inlineStr">
        <is>
          <t>moderate</t>
        </is>
      </c>
      <c r="G2" t="inlineStr">
        <is>
          <t>Source BP/HR data before stack claims</t>
        </is>
      </c>
    </row>
    <row r="3">
      <c r="A3" t="inlineStr">
        <is>
          <t>risk-002</t>
        </is>
      </c>
      <c r="B3" t="inlineStr">
        <is>
          <t>AF710B</t>
        </is>
      </c>
      <c r="C3" t="inlineStr">
        <is>
          <t>translation</t>
        </is>
      </c>
      <c r="D3" t="inlineStr">
        <is>
          <t>animal-to-human extrapolation</t>
        </is>
      </c>
      <c r="E3" t="inlineStr">
        <is>
          <t>medium</t>
        </is>
      </c>
      <c r="F3" t="inlineStr">
        <is>
          <t>high</t>
        </is>
      </c>
      <c r="G3" t="inlineStr">
        <is>
          <t>Label human efficacy unknown</t>
        </is>
      </c>
    </row>
  </sheetData>
  <autoFilter ref="A1:G3"/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4" customWidth="1"/>
    <col min="2" max="2" width="18" customWidth="1"/>
    <col min="3" max="3" width="18" customWidth="1"/>
    <col min="4" max="4" width="18" customWidth="1"/>
    <col min="5" max="5" width="18" customWidth="1"/>
    <col min="6" max="6" width="18" customWidth="1"/>
    <col min="7" max="7" width="18" customWidth="1"/>
    <col min="8" max="8" width="18" customWidth="1"/>
  </cols>
  <sheetData>
    <row r="1">
      <c r="A1" t="inlineStr">
        <is>
          <t>task_id</t>
        </is>
      </c>
      <c r="B1" t="inlineStr">
        <is>
          <t>created_at</t>
        </is>
      </c>
      <c r="C1" t="inlineStr">
        <is>
          <t>owner</t>
        </is>
      </c>
      <c r="D1" t="inlineStr">
        <is>
          <t>task</t>
        </is>
      </c>
      <c r="E1" t="inlineStr">
        <is>
          <t>status</t>
        </is>
      </c>
      <c r="F1" t="inlineStr">
        <is>
          <t>priority</t>
        </is>
      </c>
      <c r="G1" t="inlineStr">
        <is>
          <t>linked_compound</t>
        </is>
      </c>
      <c r="H1" t="inlineStr">
        <is>
          <t>linked_source</t>
        </is>
      </c>
    </row>
    <row r="2">
      <c r="A2" t="inlineStr">
        <is>
          <t>task-001</t>
        </is>
      </c>
      <c r="B2" t="inlineStr">
        <is>
          <t>2026-05-21</t>
        </is>
      </c>
      <c r="C2" t="inlineStr">
        <is>
          <t>researcher</t>
        </is>
      </c>
      <c r="D2" t="inlineStr">
        <is>
          <t>Import/search BindingDB TSV archive rows for AF710B aliases</t>
        </is>
      </c>
      <c r="E2" t="inlineStr">
        <is>
          <t>Open</t>
        </is>
      </c>
      <c r="F2" t="inlineStr">
        <is>
          <t>High</t>
        </is>
      </c>
      <c r="G2" t="inlineStr">
        <is>
          <t>cmp-af710b</t>
        </is>
      </c>
      <c r="H2" t="inlineStr">
        <is>
          <t>bindingdb</t>
        </is>
      </c>
    </row>
    <row r="3">
      <c r="A3" t="inlineStr">
        <is>
          <t>task-002</t>
        </is>
      </c>
      <c r="B3" t="inlineStr">
        <is>
          <t>2026-05-21</t>
        </is>
      </c>
      <c r="C3" t="inlineStr">
        <is>
          <t>researcher</t>
        </is>
      </c>
      <c r="D3" t="inlineStr">
        <is>
          <t>Add measured DAT/NET values for methylphenidate from local sources</t>
        </is>
      </c>
      <c r="E3" t="inlineStr">
        <is>
          <t>Open</t>
        </is>
      </c>
      <c r="F3" t="inlineStr">
        <is>
          <t>High</t>
        </is>
      </c>
      <c r="G3" t="inlineStr">
        <is>
          <t>cmp-methylphenidate</t>
        </is>
      </c>
      <c r="H3" t="inlineStr">
        <is>
          <t>bindingdb</t>
        </is>
      </c>
    </row>
  </sheetData>
  <autoFilter ref="A1:H3"/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4" customWidth="1"/>
    <col min="2" max="2" width="18" customWidth="1"/>
    <col min="3" max="3" width="18" customWidth="1"/>
    <col min="4" max="4" width="18" customWidth="1"/>
    <col min="5" max="5" width="18" customWidth="1"/>
    <col min="6" max="6" width="18" customWidth="1"/>
    <col min="7" max="7" width="18" customWidth="1"/>
  </cols>
  <sheetData>
    <row r="1">
      <c r="A1" t="inlineStr">
        <is>
          <t>source_id</t>
        </is>
      </c>
      <c r="B1" t="inlineStr">
        <is>
          <t>source_type</t>
        </is>
      </c>
      <c r="C1" t="inlineStr">
        <is>
          <t>title</t>
        </is>
      </c>
      <c r="D1" t="inlineStr">
        <is>
          <t>url</t>
        </is>
      </c>
      <c r="E1" t="inlineStr">
        <is>
          <t>local_status</t>
        </is>
      </c>
      <c r="F1" t="inlineStr">
        <is>
          <t>bytes</t>
        </is>
      </c>
      <c r="G1" t="inlineStr">
        <is>
          <t>notes</t>
        </is>
      </c>
    </row>
    <row r="2">
      <c r="A2" t="inlineStr">
        <is>
          <t>iuphar</t>
        </is>
      </c>
      <c r="B2" t="inlineStr">
        <is>
          <t>local_tsv</t>
        </is>
      </c>
      <c r="C2" t="inlineStr">
        <is>
          <t>IUPHAR interactions</t>
        </is>
      </c>
      <c r="D2" t="inlineStr">
        <is>
          <t>https://www.guidetopharmacology.org/DATA/interactions.tsv</t>
        </is>
      </c>
      <c r="E2" t="inlineStr">
        <is>
          <t>imported</t>
        </is>
      </c>
      <c r="F2">
        <v>7390193</v>
      </c>
      <c r="G2" t="inlineStr">
        <is>
          <t>23742 imported rows</t>
        </is>
      </c>
    </row>
    <row r="3">
      <c r="A3" t="inlineStr">
        <is>
          <t>bindingdb</t>
        </is>
      </c>
      <c r="B3" t="inlineStr">
        <is>
          <t>local_zip</t>
        </is>
      </c>
      <c r="C3" t="inlineStr">
        <is>
          <t>BindingDB all measurements TSV</t>
        </is>
      </c>
      <c r="D3" t="inlineStr">
        <is>
          <t>https://www.bindingdb.org/rwd/bind/downloads/BindingDB_All_202605_tsv.zip</t>
        </is>
      </c>
      <c r="E3" t="inlineStr">
        <is>
          <t>downloaded</t>
        </is>
      </c>
      <c r="F3">
        <v>581014061</v>
      </c>
      <c r="G3" t="inlineStr">
        <is>
          <t>archive local; importer follow-up</t>
        </is>
      </c>
    </row>
    <row r="4">
      <c r="A4" t="inlineStr">
        <is>
          <t>bindingdb_chembl</t>
        </is>
      </c>
      <c r="B4" t="inlineStr">
        <is>
          <t>local_zip</t>
        </is>
      </c>
      <c r="C4" t="inlineStr">
        <is>
          <t>BindingDB ChEMBL subset TSV</t>
        </is>
      </c>
      <c r="D4" t="inlineStr">
        <is>
          <t>https://www.bindingdb.org/rwd/bind/downloads/BindingDB_ChEMBL_202605_tsv.zip</t>
        </is>
      </c>
      <c r="E4" t="inlineStr">
        <is>
          <t>downloaded</t>
        </is>
      </c>
      <c r="F4">
        <v>341430307</v>
      </c>
      <c r="G4" t="inlineStr">
        <is>
          <t>archive local</t>
        </is>
      </c>
    </row>
  </sheetData>
  <autoFilter ref="A1:G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Neuropharm Research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Neuropharmacology Research Tracker</dc:title>
  <dc:creator>Neuropharm Research</dc:creator>
  <dcterms:created xsi:type="dcterms:W3CDTF">2026-05-21T20:26:38Z</dcterms:created>
  <dcterms:modified xsi:type="dcterms:W3CDTF">2026-05-21T20:26:38Z</dcterms:modified>
</cp:coreProperties>
</file>